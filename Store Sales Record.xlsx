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Excel Practice\"/>
    </mc:Choice>
  </mc:AlternateContent>
  <xr:revisionPtr revIDLastSave="0" documentId="13_ncr:1_{8B4467A1-A360-4A67-999B-68280C7A070E}" xr6:coauthVersionLast="47" xr6:coauthVersionMax="47" xr10:uidLastSave="{00000000-0000-0000-0000-000000000000}"/>
  <bookViews>
    <workbookView xWindow="-108" yWindow="-108" windowWidth="23256" windowHeight="13896" activeTab="1" xr2:uid="{9C1A1FBB-FADC-48A8-AADE-D0A0A9A418EF}"/>
  </bookViews>
  <sheets>
    <sheet name="Sheet1" sheetId="2" r:id="rId1"/>
    <sheet name="KPI" sheetId="3" r:id="rId2"/>
    <sheet name="Sales Dataset" sheetId="1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C3" i="2"/>
  <c r="A3" i="2"/>
  <c r="G2" i="2" l="1"/>
  <c r="G3" i="2" s="1"/>
</calcChain>
</file>

<file path=xl/sharedStrings.xml><?xml version="1.0" encoding="utf-8"?>
<sst xmlns="http://schemas.openxmlformats.org/spreadsheetml/2006/main" count="203" uniqueCount="42">
  <si>
    <t>OrderID</t>
  </si>
  <si>
    <t>OrderDate</t>
  </si>
  <si>
    <t>Region</t>
  </si>
  <si>
    <t>Category</t>
  </si>
  <si>
    <t>Product</t>
  </si>
  <si>
    <t>Sales</t>
  </si>
  <si>
    <t>Profit</t>
  </si>
  <si>
    <t>Quantity</t>
  </si>
  <si>
    <t>East</t>
  </si>
  <si>
    <t>Electronics</t>
  </si>
  <si>
    <t>Laptop</t>
  </si>
  <si>
    <t>North</t>
  </si>
  <si>
    <t>Furniture</t>
  </si>
  <si>
    <t>Chair</t>
  </si>
  <si>
    <t>South</t>
  </si>
  <si>
    <t>Office Supplies</t>
  </si>
  <si>
    <t>Paper</t>
  </si>
  <si>
    <t>West</t>
  </si>
  <si>
    <t>Monitor</t>
  </si>
  <si>
    <t>Table</t>
  </si>
  <si>
    <t>Keyboard</t>
  </si>
  <si>
    <t>Sofa</t>
  </si>
  <si>
    <t>Notebook</t>
  </si>
  <si>
    <t>Mouse</t>
  </si>
  <si>
    <t>Cabinet</t>
  </si>
  <si>
    <t>Pen</t>
  </si>
  <si>
    <t>Printer</t>
  </si>
  <si>
    <t>Sum of Sales</t>
  </si>
  <si>
    <t>Sum of Profit</t>
  </si>
  <si>
    <t>Sum of Quantity</t>
  </si>
  <si>
    <t>Profit Margin %</t>
  </si>
  <si>
    <t>Monthly Sales Trend (Line Chart)</t>
  </si>
  <si>
    <t>Region-wise Sales (Column Chart)</t>
  </si>
  <si>
    <t>Category-wise Profit (Bar Chart)</t>
  </si>
  <si>
    <t>Product-wise Sales (Top 10)</t>
  </si>
  <si>
    <t>Region-wise Profit (Donut Chart)</t>
  </si>
  <si>
    <t>Row Labels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</si>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</sst>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7" formatCode="_ &quot;₹&quot;\ * #,##0_ ;_ &quot;₹&quot;\ * \-#,##0_ ;_ &quot;₹&quot;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NumberFormat="1"/>
    <xf numFmtId="0" fontId="0" fillId="0" borderId="0" xfId="0" pivotButton="1"/>
    <xf numFmtId="10" fontId="0" fillId="0" borderId="0" xfId="43" applyNumberFormat="1" applyFont="1"/>
    <xf numFmtId="167" fontId="0" fillId="0" borderId="0" xfId="0" applyNumberFormat="1"/>
    <xf numFmtId="167" fontId="0" fillId="0" borderId="0" xfId="42" applyNumberFormat="1" applyFont="1"/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Record.xlsx]Sheet1!PivotTable7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Sheet1!$A$8:$A$12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Sheet1!$B$8:$B$12</c:f>
              <c:numCache>
                <c:formatCode>General</c:formatCode>
                <c:ptCount val="5"/>
                <c:pt idx="0">
                  <c:v>157200</c:v>
                </c:pt>
                <c:pt idx="1">
                  <c:v>160450</c:v>
                </c:pt>
                <c:pt idx="2">
                  <c:v>183150</c:v>
                </c:pt>
                <c:pt idx="3">
                  <c:v>184650</c:v>
                </c:pt>
                <c:pt idx="4">
                  <c:v>207700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9-485A-87F6-D826430880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0741327"/>
        <c:axId val="781283471"/>
      </c:lineChart>
      <c:catAx>
        <c:axId val="8907413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83471"/>
        <c:crosses val="autoZero"/>
        <c:auto val="1"/>
        <c:lblAlgn val="ctr"/>
        <c:lblOffset val="100"/>
        <c:noMultiLvlLbl val="0"/>
      </c:catAx>
      <c:valAx>
        <c:axId val="7812834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4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Record.xlsx]Sheet1!PivotTable8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Sheet1!$A$23:$A$26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Sheet1!$B$23:$B$26</c:f>
              <c:numCache>
                <c:formatCode>General</c:formatCode>
                <c:ptCount val="4"/>
                <c:pt idx="0">
                  <c:v>234500</c:v>
                </c:pt>
                <c:pt idx="1">
                  <c:v>290850</c:v>
                </c:pt>
                <c:pt idx="2">
                  <c:v>210900</c:v>
                </c:pt>
                <c:pt idx="3">
                  <c:v>156900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F-41C9-8D38-07B00D47ED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786189583"/>
        <c:axId val="781336271"/>
        <c:axId val="785374047"/>
      </c:bar3DChart>
      <c:catAx>
        <c:axId val="78618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36271"/>
        <c:crosses val="autoZero"/>
        <c:auto val="1"/>
        <c:lblAlgn val="ctr"/>
        <c:lblOffset val="100"/>
        <c:noMultiLvlLbl val="0"/>
      </c:catAx>
      <c:valAx>
        <c:axId val="7813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89583"/>
        <c:crosses val="autoZero"/>
        <c:crossBetween val="between"/>
      </c:valAx>
      <c:serAx>
        <c:axId val="785374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3627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Record.xlsx]Sheet1!PivotTable9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Catagory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Sheet1!$A$40:$A$42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Sheet1!$B$40:$B$42</c:f>
              <c:numCache>
                <c:formatCode>General</c:formatCode>
                <c:ptCount val="3"/>
                <c:pt idx="0">
                  <c:v>75400</c:v>
                </c:pt>
                <c:pt idx="1">
                  <c:v>76850</c:v>
                </c:pt>
                <c:pt idx="2">
                  <c:v>2530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B-4319-8C28-4511750FF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890724159"/>
        <c:axId val="781354991"/>
      </c:barChart>
      <c:catAx>
        <c:axId val="890724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Catagory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54991"/>
        <c:crosses val="autoZero"/>
        <c:auto val="1"/>
        <c:lblAlgn val="ctr"/>
        <c:lblOffset val="100"/>
        <c:noMultiLvlLbl val="0"/>
      </c:catAx>
      <c:valAx>
        <c:axId val="781354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Record.xlsx]Sheet1!PivotTable10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Sheet1!$A$54:$A$63</c:f>
              <c:strCache>
                <c:ptCount val="10"/>
                <c:pt idx="0">
                  <c:v>Cabinet</c:v>
                </c:pt>
                <c:pt idx="1">
                  <c:v>Chair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Paper</c:v>
                </c:pt>
                <c:pt idx="7">
                  <c:v>Printer</c:v>
                </c:pt>
                <c:pt idx="8">
                  <c:v>Sofa</c:v>
                </c:pt>
                <c:pt idx="9">
                  <c:v>Table</c:v>
                </c:pt>
              </c:strCache>
            </c:strRef>
          </c:cat>
          <c:val>
            <c:numRef>
              <c:f>Sheet1!$B$54:$B$63</c:f>
              <c:numCache>
                <c:formatCode>General</c:formatCode>
                <c:ptCount val="10"/>
                <c:pt idx="0">
                  <c:v>99500</c:v>
                </c:pt>
                <c:pt idx="1">
                  <c:v>35000</c:v>
                </c:pt>
                <c:pt idx="2">
                  <c:v>8500</c:v>
                </c:pt>
                <c:pt idx="3">
                  <c:v>299000</c:v>
                </c:pt>
                <c:pt idx="4">
                  <c:v>105500</c:v>
                </c:pt>
                <c:pt idx="5">
                  <c:v>6500</c:v>
                </c:pt>
                <c:pt idx="6">
                  <c:v>5400</c:v>
                </c:pt>
                <c:pt idx="7">
                  <c:v>45500</c:v>
                </c:pt>
                <c:pt idx="8">
                  <c:v>198000</c:v>
                </c:pt>
                <c:pt idx="9">
                  <c:v>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D-4972-A202-FFC3EAB8C0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56152591"/>
        <c:axId val="781295471"/>
      </c:areaChart>
      <c:catAx>
        <c:axId val="95615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95471"/>
        <c:crosses val="autoZero"/>
        <c:auto val="1"/>
        <c:lblAlgn val="ctr"/>
        <c:lblOffset val="100"/>
        <c:noMultiLvlLbl val="0"/>
      </c:catAx>
      <c:valAx>
        <c:axId val="78129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52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Record.xlsx]Sheet1!PivotTable11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6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6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666666666666664E-2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6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6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334E-2"/>
              <c:y val="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6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Sheet1!$B$70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46-4FF9-AA22-A3F73C305A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6-4FF9-AA22-A3F73C305A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A46-4FF9-AA22-A3F73C305A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6-4FF9-AA22-A3F73C305A8E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46-4FF9-AA22-A3F73C305A8E}"/>
                </c:ext>
              </c:extLst>
            </c:dLbl>
            <c:dLbl>
              <c:idx val="1"/>
              <c:layout>
                <c:manualLayout>
                  <c:x val="5.8333333333333334E-2"/>
                  <c:y val="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46-4FF9-AA22-A3F73C305A8E}"/>
                </c:ext>
              </c:extLst>
            </c:dLbl>
            <c:dLbl>
              <c:idx val="2"/>
              <c:layout>
                <c:manualLayout>
                  <c:x val="-5.2777777777777805E-2"/>
                  <c:y val="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46-4FF9-AA22-A3F73C305A8E}"/>
                </c:ext>
              </c:extLst>
            </c:dLbl>
            <c:dLbl>
              <c:idx val="3"/>
              <c:layout>
                <c:manualLayout>
                  <c:x val="-4.1666666666666664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46-4FF9-AA22-A3F73C305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6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Sheet1!$A$71:$A$74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Sheet1!$B$71:$B$74</c:f>
              <c:numCache>
                <c:formatCode>General</c:formatCode>
                <c:ptCount val="4"/>
                <c:pt idx="0">
                  <c:v>40770</c:v>
                </c:pt>
                <c:pt idx="1">
                  <c:v>50060</c:v>
                </c:pt>
                <c:pt idx="2">
                  <c:v>36660</c:v>
                </c:pt>
                <c:pt idx="3">
                  <c:v>27290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6-4FF9-AA22-A3F73C305A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Record.xlsx]Sheet1!PivotTable7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Sheet1!$A$8:$A$12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Sheet1!$B$8:$B$12</c:f>
              <c:numCache>
                <c:formatCode>General</c:formatCode>
                <c:ptCount val="5"/>
                <c:pt idx="0">
                  <c:v>157200</c:v>
                </c:pt>
                <c:pt idx="1">
                  <c:v>160450</c:v>
                </c:pt>
                <c:pt idx="2">
                  <c:v>183150</c:v>
                </c:pt>
                <c:pt idx="3">
                  <c:v>184650</c:v>
                </c:pt>
                <c:pt idx="4">
                  <c:v>207700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D-4DF9-B63F-D39B570890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0741327"/>
        <c:axId val="781283471"/>
      </c:lineChart>
      <c:catAx>
        <c:axId val="8907413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83471"/>
        <c:crosses val="autoZero"/>
        <c:auto val="1"/>
        <c:lblAlgn val="ctr"/>
        <c:lblOffset val="100"/>
        <c:noMultiLvlLbl val="0"/>
      </c:catAx>
      <c:valAx>
        <c:axId val="7812834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4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Record.xlsx]Sheet1!PivotTable8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Sheet1!$A$23:$A$26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Sheet1!$B$23:$B$26</c:f>
              <c:numCache>
                <c:formatCode>General</c:formatCode>
                <c:ptCount val="4"/>
                <c:pt idx="0">
                  <c:v>234500</c:v>
                </c:pt>
                <c:pt idx="1">
                  <c:v>290850</c:v>
                </c:pt>
                <c:pt idx="2">
                  <c:v>210900</c:v>
                </c:pt>
                <c:pt idx="3">
                  <c:v>156900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A-4CF8-8E46-8A7B25E688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786189583"/>
        <c:axId val="781336271"/>
        <c:axId val="785374047"/>
      </c:bar3DChart>
      <c:catAx>
        <c:axId val="78618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36271"/>
        <c:crosses val="autoZero"/>
        <c:auto val="1"/>
        <c:lblAlgn val="ctr"/>
        <c:lblOffset val="100"/>
        <c:noMultiLvlLbl val="0"/>
      </c:catAx>
      <c:valAx>
        <c:axId val="7813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89583"/>
        <c:crosses val="autoZero"/>
        <c:crossBetween val="between"/>
      </c:valAx>
      <c:serAx>
        <c:axId val="785374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3627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Record.xlsx]Sheet1!PivotTable9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Catagory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Sheet1!$A$40:$A$42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Sheet1!$B$40:$B$42</c:f>
              <c:numCache>
                <c:formatCode>General</c:formatCode>
                <c:ptCount val="3"/>
                <c:pt idx="0">
                  <c:v>75400</c:v>
                </c:pt>
                <c:pt idx="1">
                  <c:v>76850</c:v>
                </c:pt>
                <c:pt idx="2">
                  <c:v>2530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1-4FCE-89EB-499F314E4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890724159"/>
        <c:axId val="781354991"/>
      </c:barChart>
      <c:catAx>
        <c:axId val="8907241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Catagory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54991"/>
        <c:crosses val="autoZero"/>
        <c:auto val="1"/>
        <c:lblAlgn val="ctr"/>
        <c:lblOffset val="100"/>
        <c:noMultiLvlLbl val="0"/>
      </c:catAx>
      <c:valAx>
        <c:axId val="781354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2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Record.xlsx]Sheet1!PivotTable10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Sheet1!$A$54:$A$63</c:f>
              <c:strCache>
                <c:ptCount val="10"/>
                <c:pt idx="0">
                  <c:v>Cabinet</c:v>
                </c:pt>
                <c:pt idx="1">
                  <c:v>Chair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Paper</c:v>
                </c:pt>
                <c:pt idx="7">
                  <c:v>Printer</c:v>
                </c:pt>
                <c:pt idx="8">
                  <c:v>Sofa</c:v>
                </c:pt>
                <c:pt idx="9">
                  <c:v>Table</c:v>
                </c:pt>
              </c:strCache>
            </c:strRef>
          </c:cat>
          <c:val>
            <c:numRef>
              <c:f>Sheet1!$B$54:$B$63</c:f>
              <c:numCache>
                <c:formatCode>General</c:formatCode>
                <c:ptCount val="10"/>
                <c:pt idx="0">
                  <c:v>99500</c:v>
                </c:pt>
                <c:pt idx="1">
                  <c:v>35000</c:v>
                </c:pt>
                <c:pt idx="2">
                  <c:v>8500</c:v>
                </c:pt>
                <c:pt idx="3">
                  <c:v>299000</c:v>
                </c:pt>
                <c:pt idx="4">
                  <c:v>105500</c:v>
                </c:pt>
                <c:pt idx="5">
                  <c:v>6500</c:v>
                </c:pt>
                <c:pt idx="6">
                  <c:v>5400</c:v>
                </c:pt>
                <c:pt idx="7">
                  <c:v>45500</c:v>
                </c:pt>
                <c:pt idx="8">
                  <c:v>198000</c:v>
                </c:pt>
                <c:pt idx="9">
                  <c:v>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1-4E25-B701-94AEA5AA46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56152591"/>
        <c:axId val="781295471"/>
      </c:areaChart>
      <c:catAx>
        <c:axId val="95615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95471"/>
        <c:crosses val="autoZero"/>
        <c:auto val="1"/>
        <c:lblAlgn val="ctr"/>
        <c:lblOffset val="100"/>
        <c:noMultiLvlLbl val="0"/>
      </c:catAx>
      <c:valAx>
        <c:axId val="78129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52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 Sales Record.xlsx]Sheet1!PivotTable11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5.8333333333333334E-2"/>
              <c:y val="-5.5555555555555601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4.1666666666666664E-2"/>
              <c:y val="-4.62962962962963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5.2777777777777805E-2"/>
              <c:y val="7.40740740740740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5.8333333333333334E-2"/>
              <c:y val="4.629629629629629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5.8333333333333334E-2"/>
              <c:y val="-5.5555555555555601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5.8333333333333334E-2"/>
              <c:y val="4.629629629629629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5.2777777777777805E-2"/>
              <c:y val="7.40740740740740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4.1666666666666664E-2"/>
              <c:y val="-4.62962962962963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Sheet1!$B$70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E3-4B64-AD6E-A3F246A18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E3-4B64-AD6E-A3F246A187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E3-4B64-AD6E-A3F246A187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E3-4B64-AD6E-A3F246A187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Sheet1!$A$71:$A$74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Sheet1!$B$71:$B$74</c:f>
              <c:numCache>
                <c:formatCode>General</c:formatCode>
                <c:ptCount val="4"/>
                <c:pt idx="0">
                  <c:v>40770</c:v>
                </c:pt>
                <c:pt idx="1">
                  <c:v>50060</c:v>
                </c:pt>
                <c:pt idx="2">
                  <c:v>36660</c:v>
                </c:pt>
                <c:pt idx="3">
                  <c:v>27290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E3-4B64-AD6E-A3F246A187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5</xdr:row>
      <xdr:rowOff>118110</xdr:rowOff>
    </xdr:from>
    <xdr:to>
      <xdr:col>6</xdr:col>
      <xdr:colOff>327660</xdr:colOff>
      <xdr:row>19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CCE8BB-89CA-23FA-0E61-E0858AC1B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259080</xdr:colOff>
      <xdr:row>19</xdr:row>
      <xdr:rowOff>171450</xdr:rowOff>
    </xdr:from>
    <xdr:to>
      <xdr:col>5</xdr:col>
      <xdr:colOff>807720</xdr:colOff>
      <xdr:row>35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A55099-D4E4-B90F-A213-9EB09395C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243840</xdr:colOff>
      <xdr:row>36</xdr:row>
      <xdr:rowOff>163830</xdr:rowOff>
    </xdr:from>
    <xdr:to>
      <xdr:col>7</xdr:col>
      <xdr:colOff>114300</xdr:colOff>
      <xdr:row>50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6263E5-A893-CB84-4FD3-D207FB5E1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259080</xdr:colOff>
      <xdr:row>51</xdr:row>
      <xdr:rowOff>11430</xdr:rowOff>
    </xdr:from>
    <xdr:to>
      <xdr:col>7</xdr:col>
      <xdr:colOff>518160</xdr:colOff>
      <xdr:row>66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8BA2F6-89EC-FE7F-9FA4-48CA656EC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251460</xdr:colOff>
      <xdr:row>66</xdr:row>
      <xdr:rowOff>148590</xdr:rowOff>
    </xdr:from>
    <xdr:to>
      <xdr:col>5</xdr:col>
      <xdr:colOff>746760</xdr:colOff>
      <xdr:row>81</xdr:row>
      <xdr:rowOff>148590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A44B59-0995-94A7-36A7-6E76F19A4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0</xdr:rowOff>
    </xdr:from>
    <xdr:to>
      <xdr:col>21</xdr:col>
      <xdr:colOff>228600</xdr:colOff>
      <xdr:row>31</xdr:row>
      <xdr:rowOff>91440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3CB2DD6-57EE-3E90-8025-A2DBCADCB6CE}"/>
            </a:ext>
          </a:extLst>
        </xdr:cNvPr>
        <xdr:cNvSpPr/>
      </xdr:nvSpPr>
      <xdr:spPr>
        <a:xfrm>
          <a:off x="68580" y="0"/>
          <a:ext cx="12961620" cy="576072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121920</xdr:colOff>
      <xdr:row>17</xdr:row>
      <xdr:rowOff>38100</xdr:rowOff>
    </xdr:from>
    <xdr:to>
      <xdr:col>6</xdr:col>
      <xdr:colOff>182880</xdr:colOff>
      <xdr:row>30</xdr:row>
      <xdr:rowOff>163830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AA2D369-319C-4B10-A154-778E703E5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99060</xdr:colOff>
      <xdr:row>0</xdr:row>
      <xdr:rowOff>175260</xdr:rowOff>
    </xdr:from>
    <xdr:to>
      <xdr:col>16</xdr:col>
      <xdr:colOff>281940</xdr:colOff>
      <xdr:row>16</xdr:row>
      <xdr:rowOff>19050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5EACAE-0592-4557-B4AC-E2BFF503B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388620</xdr:colOff>
      <xdr:row>17</xdr:row>
      <xdr:rowOff>38100</xdr:rowOff>
    </xdr:from>
    <xdr:to>
      <xdr:col>13</xdr:col>
      <xdr:colOff>304800</xdr:colOff>
      <xdr:row>30</xdr:row>
      <xdr:rowOff>175260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DF413FC-B3A6-4D2B-AAE8-276CAFC68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342900</xdr:colOff>
      <xdr:row>17</xdr:row>
      <xdr:rowOff>30480</xdr:rowOff>
    </xdr:from>
    <xdr:to>
      <xdr:col>21</xdr:col>
      <xdr:colOff>38100</xdr:colOff>
      <xdr:row>30</xdr:row>
      <xdr:rowOff>152400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070B8DB-0852-40C2-8B62-D488848FB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411480</xdr:colOff>
      <xdr:row>1</xdr:row>
      <xdr:rowOff>0</xdr:rowOff>
    </xdr:from>
    <xdr:to>
      <xdr:col>21</xdr:col>
      <xdr:colOff>15240</xdr:colOff>
      <xdr:row>16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44C1CA0-E93D-4C82-8301-BEE3BC12B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205740</xdr:colOff>
      <xdr:row>1</xdr:row>
      <xdr:rowOff>30480</xdr:rowOff>
    </xdr:from>
    <xdr:to>
      <xdr:col>10</xdr:col>
      <xdr:colOff>281940</xdr:colOff>
      <xdr:row>15</xdr:row>
      <xdr:rowOff>99060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413CABE2-1959-D858-0525-B74481A8117F}"/>
            </a:ext>
          </a:extLst>
        </xdr:cNvPr>
        <xdr:cNvGrpSpPr/>
      </xdr:nvGrpSpPr>
      <xdr:grpSpPr>
        <a:xfrm>
          <a:off x="205740" y="213360"/>
          <a:ext cx="6172200" cy="2628900"/>
          <a:chOff x="213360" y="259080"/>
          <a:chExt cx="6172200" cy="2628900"/>
        </a:xfrm>
      </xdr:grpSpPr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7364FC31-96A8-3C72-0B9A-6AC4DCD5B72D}"/>
              </a:ext>
            </a:extLst>
          </xdr:cNvPr>
          <xdr:cNvSpPr/>
        </xdr:nvSpPr>
        <xdr:spPr>
          <a:xfrm>
            <a:off x="2057400" y="411480"/>
            <a:ext cx="2423160" cy="235458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accent4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627D6B3A-2AB2-480A-DAC6-02C35EE09146}"/>
              </a:ext>
            </a:extLst>
          </xdr:cNvPr>
          <xdr:cNvSpPr txBox="1"/>
        </xdr:nvSpPr>
        <xdr:spPr>
          <a:xfrm>
            <a:off x="2339340" y="944880"/>
            <a:ext cx="1905000" cy="1234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 b="1">
                <a:solidFill>
                  <a:srgbClr val="FF5050"/>
                </a:solidFill>
              </a:rPr>
              <a:t>Store Sales Record</a:t>
            </a: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67B3B4FB-9016-4956-A092-35773EDFCB28}"/>
              </a:ext>
            </a:extLst>
          </xdr:cNvPr>
          <xdr:cNvSpPr/>
        </xdr:nvSpPr>
        <xdr:spPr>
          <a:xfrm>
            <a:off x="4762500" y="274320"/>
            <a:ext cx="1623060" cy="1089660"/>
          </a:xfrm>
          <a:prstGeom prst="roundRect">
            <a:avLst/>
          </a:prstGeom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A5C69464-4DE9-49DD-962D-5EF2044417F2}"/>
              </a:ext>
            </a:extLst>
          </xdr:cNvPr>
          <xdr:cNvSpPr txBox="1"/>
        </xdr:nvSpPr>
        <xdr:spPr>
          <a:xfrm>
            <a:off x="4960620" y="381000"/>
            <a:ext cx="133350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6">
                    <a:lumMod val="20000"/>
                    <a:lumOff val="80000"/>
                  </a:schemeClr>
                </a:solidFill>
                <a:latin typeface="Bahnschrift SemiLight SemiConde" panose="020B0502040204020203" pitchFamily="34" charset="0"/>
              </a:rPr>
              <a:t>Sum of Quantity</a:t>
            </a:r>
          </a:p>
        </xdr:txBody>
      </xdr:sp>
      <xdr:sp macro="" textlink="Sheet1!E3">
        <xdr:nvSpPr>
          <xdr:cNvPr id="12" name="TextBox 11">
            <a:extLst>
              <a:ext uri="{FF2B5EF4-FFF2-40B4-BE49-F238E27FC236}">
                <a16:creationId xmlns:a16="http://schemas.microsoft.com/office/drawing/2014/main" id="{4CB24656-CF16-40C0-B3FE-39935276E93C}"/>
              </a:ext>
            </a:extLst>
          </xdr:cNvPr>
          <xdr:cNvSpPr txBox="1"/>
        </xdr:nvSpPr>
        <xdr:spPr>
          <a:xfrm>
            <a:off x="4899660" y="792480"/>
            <a:ext cx="134112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F0CC24B-29F7-4B23-9590-B9A27BCA5281}" type="TxLink">
              <a:rPr lang="en-US" sz="2000" b="0" i="0" u="none" strike="noStrike">
                <a:solidFill>
                  <a:schemeClr val="accent6">
                    <a:lumMod val="20000"/>
                    <a:lumOff val="80000"/>
                  </a:schemeClr>
                </a:solidFill>
                <a:latin typeface="Calibri"/>
                <a:ea typeface="Calibri"/>
                <a:cs typeface="Calibri"/>
              </a:rPr>
              <a:t>570</a:t>
            </a:fld>
            <a:endParaRPr lang="en-US" sz="3200" b="1">
              <a:solidFill>
                <a:schemeClr val="accent6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09E59F6F-EEC5-421B-AE78-F626AD11DBDD}"/>
              </a:ext>
            </a:extLst>
          </xdr:cNvPr>
          <xdr:cNvSpPr/>
        </xdr:nvSpPr>
        <xdr:spPr>
          <a:xfrm>
            <a:off x="4754880" y="1760220"/>
            <a:ext cx="1623060" cy="1089660"/>
          </a:xfrm>
          <a:prstGeom prst="roundRect">
            <a:avLst/>
          </a:prstGeom>
          <a:solidFill>
            <a:schemeClr val="accent4">
              <a:lumMod val="5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B5DBD7A-4B2E-43E8-8CEA-0F30EA4F6109}"/>
              </a:ext>
            </a:extLst>
          </xdr:cNvPr>
          <xdr:cNvSpPr txBox="1"/>
        </xdr:nvSpPr>
        <xdr:spPr>
          <a:xfrm>
            <a:off x="4953000" y="1866900"/>
            <a:ext cx="128016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3">
                    <a:lumMod val="20000"/>
                    <a:lumOff val="80000"/>
                  </a:schemeClr>
                </a:solidFill>
                <a:latin typeface="Bahnschrift SemiLight SemiConde" panose="020B0502040204020203" pitchFamily="34" charset="0"/>
              </a:rPr>
              <a:t>Profit Margin %</a:t>
            </a:r>
          </a:p>
        </xdr:txBody>
      </xdr:sp>
      <xdr:sp macro="" textlink="Sheet1!G3">
        <xdr:nvSpPr>
          <xdr:cNvPr id="15" name="TextBox 14">
            <a:extLst>
              <a:ext uri="{FF2B5EF4-FFF2-40B4-BE49-F238E27FC236}">
                <a16:creationId xmlns:a16="http://schemas.microsoft.com/office/drawing/2014/main" id="{BF2AEA16-8EFF-48F7-8F39-244A5B83D51C}"/>
              </a:ext>
            </a:extLst>
          </xdr:cNvPr>
          <xdr:cNvSpPr txBox="1"/>
        </xdr:nvSpPr>
        <xdr:spPr>
          <a:xfrm>
            <a:off x="4869180" y="2278380"/>
            <a:ext cx="134112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BF5E5EC-E961-44B4-A16C-F1AEB2730E50}" type="TxLink">
              <a:rPr lang="en-US" sz="1800" b="0" i="0" u="none" strike="noStrike">
                <a:solidFill>
                  <a:schemeClr val="accent4">
                    <a:lumMod val="20000"/>
                    <a:lumOff val="80000"/>
                  </a:schemeClr>
                </a:solidFill>
                <a:latin typeface="Calibri"/>
                <a:ea typeface="Calibri"/>
                <a:cs typeface="Calibri"/>
              </a:rPr>
              <a:t>17.33%</a:t>
            </a:fld>
            <a:endParaRPr lang="en-US" sz="2800" b="1">
              <a:solidFill>
                <a:schemeClr val="accent4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565ABC22-AD9D-7039-216B-DF94C5575F1E}"/>
              </a:ext>
            </a:extLst>
          </xdr:cNvPr>
          <xdr:cNvSpPr/>
        </xdr:nvSpPr>
        <xdr:spPr>
          <a:xfrm>
            <a:off x="213360" y="259080"/>
            <a:ext cx="1623060" cy="1089660"/>
          </a:xfrm>
          <a:prstGeom prst="roundRect">
            <a:avLst/>
          </a:prstGeom>
          <a:solidFill>
            <a:schemeClr val="tx2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A393BB0-E530-3905-349F-D156A77B1F2E}"/>
              </a:ext>
            </a:extLst>
          </xdr:cNvPr>
          <xdr:cNvSpPr txBox="1"/>
        </xdr:nvSpPr>
        <xdr:spPr>
          <a:xfrm>
            <a:off x="411480" y="365760"/>
            <a:ext cx="128016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1">
                    <a:lumMod val="20000"/>
                    <a:lumOff val="80000"/>
                  </a:schemeClr>
                </a:solidFill>
                <a:latin typeface="Bahnschrift SemiLight SemiConde" panose="020B0502040204020203" pitchFamily="34" charset="0"/>
              </a:rPr>
              <a:t>Sum of Sales</a:t>
            </a:r>
          </a:p>
        </xdr:txBody>
      </xdr:sp>
      <xdr:sp macro="" textlink="Sheet1!A3">
        <xdr:nvSpPr>
          <xdr:cNvPr id="25" name="TextBox 24">
            <a:extLst>
              <a:ext uri="{FF2B5EF4-FFF2-40B4-BE49-F238E27FC236}">
                <a16:creationId xmlns:a16="http://schemas.microsoft.com/office/drawing/2014/main" id="{865D1796-E03D-8E38-1710-B6936FC8E87A}"/>
              </a:ext>
            </a:extLst>
          </xdr:cNvPr>
          <xdr:cNvSpPr txBox="1"/>
        </xdr:nvSpPr>
        <xdr:spPr>
          <a:xfrm>
            <a:off x="297180" y="777240"/>
            <a:ext cx="134112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AC533B6-1147-4936-812C-69707B978554}" type="TxLink">
              <a:rPr lang="en-US" sz="1400" b="0" i="0" u="none" strike="noStrike">
                <a:solidFill>
                  <a:schemeClr val="tx2">
                    <a:lumMod val="20000"/>
                    <a:lumOff val="80000"/>
                  </a:schemeClr>
                </a:solidFill>
                <a:latin typeface="Calibri"/>
                <a:ea typeface="Calibri"/>
                <a:cs typeface="Calibri"/>
              </a:rPr>
              <a:t> ₹ 8,93,150 </a:t>
            </a:fld>
            <a:endParaRPr lang="en-US" sz="1600" b="1">
              <a:solidFill>
                <a:schemeClr val="tx2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A07B1077-2705-DACF-5190-99AC1567F776}"/>
              </a:ext>
            </a:extLst>
          </xdr:cNvPr>
          <xdr:cNvSpPr/>
        </xdr:nvSpPr>
        <xdr:spPr>
          <a:xfrm>
            <a:off x="213360" y="1798320"/>
            <a:ext cx="1623060" cy="1089660"/>
          </a:xfrm>
          <a:prstGeom prst="roundRect">
            <a:avLst/>
          </a:prstGeom>
          <a:solidFill>
            <a:schemeClr val="accent1">
              <a:lumMod val="75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5C7A910A-0308-0C80-7E09-447A7E0C7DD5}"/>
              </a:ext>
            </a:extLst>
          </xdr:cNvPr>
          <xdr:cNvSpPr txBox="1"/>
        </xdr:nvSpPr>
        <xdr:spPr>
          <a:xfrm>
            <a:off x="411480" y="1905000"/>
            <a:ext cx="128016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1">
                    <a:lumMod val="40000"/>
                    <a:lumOff val="60000"/>
                  </a:schemeClr>
                </a:solidFill>
                <a:latin typeface="Bahnschrift SemiLight SemiConde" panose="020B0502040204020203" pitchFamily="34" charset="0"/>
              </a:rPr>
              <a:t>Sum of Profit</a:t>
            </a:r>
          </a:p>
        </xdr:txBody>
      </xdr:sp>
      <xdr:sp macro="" textlink="Sheet1!C3">
        <xdr:nvSpPr>
          <xdr:cNvPr id="28" name="TextBox 27">
            <a:extLst>
              <a:ext uri="{FF2B5EF4-FFF2-40B4-BE49-F238E27FC236}">
                <a16:creationId xmlns:a16="http://schemas.microsoft.com/office/drawing/2014/main" id="{449B9CAA-2EA2-873C-7EC9-E193193825B7}"/>
              </a:ext>
            </a:extLst>
          </xdr:cNvPr>
          <xdr:cNvSpPr txBox="1"/>
        </xdr:nvSpPr>
        <xdr:spPr>
          <a:xfrm>
            <a:off x="297180" y="2316480"/>
            <a:ext cx="1341120" cy="4038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484A4E7-9353-4C86-9271-534EC14643DC}" type="TxLink">
              <a:rPr lang="en-US" sz="1400" b="0" i="0" u="none" strike="noStrike">
                <a:solidFill>
                  <a:schemeClr val="accent1">
                    <a:lumMod val="20000"/>
                    <a:lumOff val="80000"/>
                  </a:schemeClr>
                </a:solidFill>
                <a:latin typeface="Calibri"/>
                <a:ea typeface="Calibri"/>
                <a:cs typeface="Calibri"/>
              </a:rPr>
              <a:t> ₹ 1,54,780 </a:t>
            </a:fld>
            <a:endParaRPr lang="en-US" sz="2000" b="1">
              <a:solidFill>
                <a:schemeClr val="accent1">
                  <a:lumMod val="20000"/>
                  <a:lumOff val="80000"/>
                </a:schemeClr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trik Saha" refreshedDate="46307.709053009261" createdVersion="8" refreshedVersion="8" minRefreshableVersion="3" recordCount="50" xr:uid="{2D7EE35F-EA8B-487E-968B-663125117544}">
  <cacheSource type="worksheet">
    <worksheetSource ref="A1:H51" sheet="Sales Dataset"/>
  </cacheSource>
  <cacheFields count="10">
    <cacheField name="OrderID" numFmtId="0">
      <sharedItems containsSemiMixedTypes="0" containsString="0" containsNumber="1" containsInteger="1" minValue="1001" maxValue="1050"/>
    </cacheField>
    <cacheField name="OrderDate" numFmtId="14">
      <sharedItems containsSemiMixedTypes="0" containsNonDate="0" containsDate="1" containsString="0" minDate="2025-01-03T00:00:00" maxDate="2025-05-31T00:00:00" count="50">
        <d v="2025-01-03T00:00:00"/>
        <d v="2025-01-05T00:00:00"/>
        <d v="2025-01-07T00:00:00"/>
        <d v="2025-01-10T00:00:00"/>
        <d v="2025-01-12T00:00:00"/>
        <d v="2025-01-15T00:00:00"/>
        <d v="2025-01-18T00:00:00"/>
        <d v="2025-01-20T00:00:00"/>
        <d v="2025-01-22T00:00:00"/>
        <d v="2025-01-25T00:00:00"/>
        <d v="2025-02-02T00:00:00"/>
        <d v="2025-02-04T00:00:00"/>
        <d v="2025-02-06T00:00:00"/>
        <d v="2025-02-08T00:00:00"/>
        <d v="2025-02-12T00:00:00"/>
        <d v="2025-02-15T00:00:00"/>
        <d v="2025-02-18T00:00:00"/>
        <d v="2025-02-21T00:00:00"/>
        <d v="2025-02-24T00:00:00"/>
        <d v="2025-02-28T00:00:00"/>
        <d v="2025-03-03T00:00:00"/>
        <d v="2025-03-06T00:00:00"/>
        <d v="2025-03-08T00:00:00"/>
        <d v="2025-03-10T00:00:00"/>
        <d v="2025-03-14T00:00:00"/>
        <d v="2025-03-16T00:00:00"/>
        <d v="2025-03-19T00:00:00"/>
        <d v="2025-03-21T00:00:00"/>
        <d v="2025-03-25T00:00:00"/>
        <d v="2025-03-28T00:00:00"/>
        <d v="2025-04-02T00:00:00"/>
        <d v="2025-04-04T00:00:00"/>
        <d v="2025-04-07T00:00:00"/>
        <d v="2025-04-10T00:00:00"/>
        <d v="2025-04-12T00:00:00"/>
        <d v="2025-04-15T00:00:00"/>
        <d v="2025-04-18T00:00:00"/>
        <d v="2025-04-21T00:00:00"/>
        <d v="2025-04-24T00:00:00"/>
        <d v="2025-04-27T00:00:00"/>
        <d v="2025-05-02T00:00:00"/>
        <d v="2025-05-05T00:00:00"/>
        <d v="2025-05-08T00:00:00"/>
        <d v="2025-05-11T00:00:00"/>
        <d v="2025-05-14T00:00:00"/>
        <d v="2025-05-17T00:00:00"/>
        <d v="2025-05-20T00:00:00"/>
        <d v="2025-05-23T00:00:00"/>
        <d v="2025-05-26T00:00:00"/>
        <d v="2025-05-30T00:00:00"/>
      </sharedItems>
      <fieldGroup par="9"/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3">
        <s v="Electronics"/>
        <s v="Furniture"/>
        <s v="Office Supplies"/>
      </sharedItems>
    </cacheField>
    <cacheField name="Product" numFmtId="0">
      <sharedItems count="12">
        <s v="Laptop"/>
        <s v="Chair"/>
        <s v="Paper"/>
        <s v="Monitor"/>
        <s v="Table"/>
        <s v="Keyboard"/>
        <s v="Sofa"/>
        <s v="Notebook"/>
        <s v="Mouse"/>
        <s v="Cabinet"/>
        <s v="Pen"/>
        <s v="Printer"/>
      </sharedItems>
    </cacheField>
    <cacheField name="Sales" numFmtId="0">
      <sharedItems containsSemiMixedTypes="0" containsString="0" containsNumber="1" containsInteger="1" minValue="600" maxValue="64000"/>
    </cacheField>
    <cacheField name="Profit" numFmtId="0">
      <sharedItems containsSemiMixedTypes="0" containsString="0" containsNumber="1" containsInteger="1" minValue="120" maxValue="10000"/>
    </cacheField>
    <cacheField name="Quantity" numFmtId="0">
      <sharedItems containsSemiMixedTypes="0" containsString="0" containsNumber="1" containsInteger="1" minValue="1" maxValue="60"/>
    </cacheField>
    <cacheField name="Days (OrderDate)" numFmtId="0" databaseField="0">
      <fieldGroup base="1">
        <rangePr groupBy="days" startDate="2025-01-03T00:00:00" endDate="2025-05-31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5-2025"/>
        </groupItems>
      </fieldGroup>
    </cacheField>
    <cacheField name="Months (OrderDate)" numFmtId="0" databaseField="0">
      <fieldGroup base="1">
        <rangePr groupBy="months" startDate="2025-01-03T00:00:00" endDate="2025-05-31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x v="0"/>
    <x v="0"/>
    <n v="55000"/>
    <n v="8000"/>
    <n v="2"/>
  </r>
  <r>
    <n v="1002"/>
    <x v="1"/>
    <x v="1"/>
    <x v="1"/>
    <x v="1"/>
    <n v="6500"/>
    <n v="1200"/>
    <n v="5"/>
  </r>
  <r>
    <n v="1003"/>
    <x v="2"/>
    <x v="2"/>
    <x v="2"/>
    <x v="2"/>
    <n v="1200"/>
    <n v="300"/>
    <n v="20"/>
  </r>
  <r>
    <n v="1004"/>
    <x v="3"/>
    <x v="3"/>
    <x v="0"/>
    <x v="3"/>
    <n v="18000"/>
    <n v="3000"/>
    <n v="3"/>
  </r>
  <r>
    <n v="1005"/>
    <x v="4"/>
    <x v="0"/>
    <x v="1"/>
    <x v="4"/>
    <n v="15000"/>
    <n v="2500"/>
    <n v="2"/>
  </r>
  <r>
    <n v="1006"/>
    <x v="5"/>
    <x v="1"/>
    <x v="0"/>
    <x v="5"/>
    <n v="2500"/>
    <n v="500"/>
    <n v="10"/>
  </r>
  <r>
    <n v="1007"/>
    <x v="6"/>
    <x v="2"/>
    <x v="1"/>
    <x v="6"/>
    <n v="35000"/>
    <n v="6000"/>
    <n v="1"/>
  </r>
  <r>
    <n v="1008"/>
    <x v="7"/>
    <x v="3"/>
    <x v="2"/>
    <x v="7"/>
    <n v="800"/>
    <n v="150"/>
    <n v="25"/>
  </r>
  <r>
    <n v="1009"/>
    <x v="8"/>
    <x v="0"/>
    <x v="0"/>
    <x v="8"/>
    <n v="1200"/>
    <n v="250"/>
    <n v="15"/>
  </r>
  <r>
    <n v="1010"/>
    <x v="9"/>
    <x v="1"/>
    <x v="1"/>
    <x v="9"/>
    <n v="22000"/>
    <n v="4500"/>
    <n v="2"/>
  </r>
  <r>
    <n v="1011"/>
    <x v="10"/>
    <x v="2"/>
    <x v="0"/>
    <x v="0"/>
    <n v="60000"/>
    <n v="9500"/>
    <n v="2"/>
  </r>
  <r>
    <n v="1012"/>
    <x v="11"/>
    <x v="3"/>
    <x v="1"/>
    <x v="1"/>
    <n v="7000"/>
    <n v="1300"/>
    <n v="6"/>
  </r>
  <r>
    <n v="1013"/>
    <x v="12"/>
    <x v="0"/>
    <x v="2"/>
    <x v="10"/>
    <n v="600"/>
    <n v="120"/>
    <n v="50"/>
  </r>
  <r>
    <n v="1014"/>
    <x v="13"/>
    <x v="1"/>
    <x v="0"/>
    <x v="11"/>
    <n v="14000"/>
    <n v="2200"/>
    <n v="2"/>
  </r>
  <r>
    <n v="1015"/>
    <x v="14"/>
    <x v="2"/>
    <x v="1"/>
    <x v="4"/>
    <n v="17000"/>
    <n v="2800"/>
    <n v="2"/>
  </r>
  <r>
    <n v="1016"/>
    <x v="15"/>
    <x v="3"/>
    <x v="2"/>
    <x v="2"/>
    <n v="1400"/>
    <n v="350"/>
    <n v="22"/>
  </r>
  <r>
    <n v="1017"/>
    <x v="16"/>
    <x v="0"/>
    <x v="0"/>
    <x v="3"/>
    <n v="21000"/>
    <n v="3800"/>
    <n v="4"/>
  </r>
  <r>
    <n v="1018"/>
    <x v="17"/>
    <x v="1"/>
    <x v="1"/>
    <x v="6"/>
    <n v="37000"/>
    <n v="6500"/>
    <n v="1"/>
  </r>
  <r>
    <n v="1019"/>
    <x v="18"/>
    <x v="2"/>
    <x v="2"/>
    <x v="7"/>
    <n v="950"/>
    <n v="200"/>
    <n v="28"/>
  </r>
  <r>
    <n v="1020"/>
    <x v="19"/>
    <x v="3"/>
    <x v="0"/>
    <x v="8"/>
    <n v="1500"/>
    <n v="300"/>
    <n v="20"/>
  </r>
  <r>
    <n v="1021"/>
    <x v="20"/>
    <x v="0"/>
    <x v="1"/>
    <x v="1"/>
    <n v="6800"/>
    <n v="1150"/>
    <n v="4"/>
  </r>
  <r>
    <n v="1022"/>
    <x v="21"/>
    <x v="1"/>
    <x v="0"/>
    <x v="0"/>
    <n v="58000"/>
    <n v="8700"/>
    <n v="2"/>
  </r>
  <r>
    <n v="1023"/>
    <x v="22"/>
    <x v="2"/>
    <x v="2"/>
    <x v="10"/>
    <n v="750"/>
    <n v="140"/>
    <n v="55"/>
  </r>
  <r>
    <n v="1024"/>
    <x v="23"/>
    <x v="3"/>
    <x v="1"/>
    <x v="4"/>
    <n v="16000"/>
    <n v="2700"/>
    <n v="2"/>
  </r>
  <r>
    <n v="1025"/>
    <x v="24"/>
    <x v="0"/>
    <x v="0"/>
    <x v="5"/>
    <n v="2800"/>
    <n v="550"/>
    <n v="12"/>
  </r>
  <r>
    <n v="1026"/>
    <x v="25"/>
    <x v="1"/>
    <x v="1"/>
    <x v="9"/>
    <n v="24000"/>
    <n v="4900"/>
    <n v="2"/>
  </r>
  <r>
    <n v="1027"/>
    <x v="26"/>
    <x v="2"/>
    <x v="0"/>
    <x v="3"/>
    <n v="19500"/>
    <n v="3300"/>
    <n v="3"/>
  </r>
  <r>
    <n v="1028"/>
    <x v="27"/>
    <x v="3"/>
    <x v="2"/>
    <x v="2"/>
    <n v="1300"/>
    <n v="280"/>
    <n v="18"/>
  </r>
  <r>
    <n v="1029"/>
    <x v="28"/>
    <x v="0"/>
    <x v="1"/>
    <x v="6"/>
    <n v="39000"/>
    <n v="7200"/>
    <n v="1"/>
  </r>
  <r>
    <n v="1030"/>
    <x v="29"/>
    <x v="1"/>
    <x v="0"/>
    <x v="11"/>
    <n v="15000"/>
    <n v="2500"/>
    <n v="2"/>
  </r>
  <r>
    <n v="1031"/>
    <x v="30"/>
    <x v="2"/>
    <x v="1"/>
    <x v="1"/>
    <n v="7200"/>
    <n v="1350"/>
    <n v="5"/>
  </r>
  <r>
    <n v="1032"/>
    <x v="31"/>
    <x v="3"/>
    <x v="0"/>
    <x v="0"/>
    <n v="62000"/>
    <n v="9800"/>
    <n v="2"/>
  </r>
  <r>
    <n v="1033"/>
    <x v="32"/>
    <x v="0"/>
    <x v="2"/>
    <x v="7"/>
    <n v="1100"/>
    <n v="250"/>
    <n v="30"/>
  </r>
  <r>
    <n v="1034"/>
    <x v="33"/>
    <x v="1"/>
    <x v="1"/>
    <x v="4"/>
    <n v="17500"/>
    <n v="3100"/>
    <n v="2"/>
  </r>
  <r>
    <n v="1035"/>
    <x v="34"/>
    <x v="2"/>
    <x v="0"/>
    <x v="8"/>
    <n v="1800"/>
    <n v="350"/>
    <n v="22"/>
  </r>
  <r>
    <n v="1036"/>
    <x v="35"/>
    <x v="3"/>
    <x v="1"/>
    <x v="9"/>
    <n v="26000"/>
    <n v="5200"/>
    <n v="2"/>
  </r>
  <r>
    <n v="1037"/>
    <x v="36"/>
    <x v="0"/>
    <x v="0"/>
    <x v="3"/>
    <n v="23000"/>
    <n v="4200"/>
    <n v="4"/>
  </r>
  <r>
    <n v="1038"/>
    <x v="37"/>
    <x v="1"/>
    <x v="2"/>
    <x v="10"/>
    <n v="850"/>
    <n v="160"/>
    <n v="60"/>
  </r>
  <r>
    <n v="1039"/>
    <x v="38"/>
    <x v="2"/>
    <x v="1"/>
    <x v="6"/>
    <n v="42000"/>
    <n v="7800"/>
    <n v="1"/>
  </r>
  <r>
    <n v="1040"/>
    <x v="39"/>
    <x v="3"/>
    <x v="0"/>
    <x v="5"/>
    <n v="3200"/>
    <n v="650"/>
    <n v="15"/>
  </r>
  <r>
    <n v="1041"/>
    <x v="40"/>
    <x v="0"/>
    <x v="1"/>
    <x v="1"/>
    <n v="7500"/>
    <n v="1450"/>
    <n v="6"/>
  </r>
  <r>
    <n v="1042"/>
    <x v="41"/>
    <x v="1"/>
    <x v="0"/>
    <x v="0"/>
    <n v="64000"/>
    <n v="10000"/>
    <n v="2"/>
  </r>
  <r>
    <n v="1043"/>
    <x v="42"/>
    <x v="2"/>
    <x v="2"/>
    <x v="2"/>
    <n v="1500"/>
    <n v="320"/>
    <n v="25"/>
  </r>
  <r>
    <n v="1044"/>
    <x v="43"/>
    <x v="3"/>
    <x v="1"/>
    <x v="4"/>
    <n v="18500"/>
    <n v="3300"/>
    <n v="2"/>
  </r>
  <r>
    <n v="1045"/>
    <x v="44"/>
    <x v="0"/>
    <x v="0"/>
    <x v="11"/>
    <n v="16500"/>
    <n v="2800"/>
    <n v="2"/>
  </r>
  <r>
    <n v="1046"/>
    <x v="45"/>
    <x v="1"/>
    <x v="1"/>
    <x v="9"/>
    <n v="27500"/>
    <n v="5400"/>
    <n v="2"/>
  </r>
  <r>
    <n v="1047"/>
    <x v="46"/>
    <x v="2"/>
    <x v="0"/>
    <x v="3"/>
    <n v="24000"/>
    <n v="4600"/>
    <n v="4"/>
  </r>
  <r>
    <n v="1048"/>
    <x v="47"/>
    <x v="3"/>
    <x v="2"/>
    <x v="7"/>
    <n v="1200"/>
    <n v="260"/>
    <n v="35"/>
  </r>
  <r>
    <n v="1049"/>
    <x v="48"/>
    <x v="0"/>
    <x v="1"/>
    <x v="6"/>
    <n v="45000"/>
    <n v="8500"/>
    <n v="1"/>
  </r>
  <r>
    <n v="1050"/>
    <x v="49"/>
    <x v="1"/>
    <x v="0"/>
    <x v="8"/>
    <n v="2000"/>
    <n v="400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F056F-2F1C-456C-9D82-67E2A4AE8603}" name="PivotTable1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5">
  <location ref="A70:B74" firstHeaderRow="1" firstDataRow="1" firstDataCol="1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13">
        <item x="9"/>
        <item x="1"/>
        <item x="5"/>
        <item x="0"/>
        <item x="3"/>
        <item x="8"/>
        <item x="7"/>
        <item x="2"/>
        <item x="10"/>
        <item x="11"/>
        <item x="6"/>
        <item x="4"/>
        <item t="default"/>
      </items>
    </pivotField>
    <pivotField showAll="0"/>
    <pivotField dataField="1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Profit" fld="6" baseField="0" baseItem="0"/>
  </dataFields>
  <chartFormats count="15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10CA1-0C6C-4E3B-815D-921D768678B9}" name="PivotTable10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2">
  <location ref="A53:B63" firstHeaderRow="1" firstDataRow="1" firstDataCol="1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Row" showAll="0" measureFilter="1">
      <items count="13">
        <item x="9"/>
        <item x="1"/>
        <item x="5"/>
        <item x="0"/>
        <item x="3"/>
        <item x="8"/>
        <item x="7"/>
        <item x="2"/>
        <item x="10"/>
        <item x="11"/>
        <item x="6"/>
        <item x="4"/>
        <item t="default"/>
      </items>
    </pivotField>
    <pivotField dataField="1"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</rowItems>
  <colItems count="1">
    <i/>
  </colItems>
  <dataFields count="1">
    <dataField name="Sum of Sales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8B6B9-CD28-40BB-9D9E-F42D919A2B24}" name="PivotTable9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0">
  <location ref="A39:B42" firstHeaderRow="1" firstDataRow="1" firstDataCol="1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Profit" fld="6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ED522-814D-4685-9D64-BCEEBA3E133C}" name="PivotTable8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8">
  <location ref="A22:B26" firstHeaderRow="1" firstDataRow="1" firstDataCol="1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CD4D-E3E3-48EA-8F8F-235AFEA99353}" name="PivotTable7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4">
  <location ref="A7:B12" firstHeaderRow="1" firstDataRow="1" firstDataCol="1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9"/>
  </rowFields>
  <rowItems count="5"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Sales" fld="5" baseField="0" baseItem="0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A97E3-F333-4EFD-AFD9-CAC45A5A05A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E2" firstHeaderRow="1" firstDataRow="1" firstDataCol="0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8A892-1DAA-40FA-9595-3BE0065F73F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1:C2" firstHeaderRow="1" firstDataRow="1" firstDataCol="0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577C5-F364-4060-A2D5-F8C43687230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A2" firstHeaderRow="1" firstDataRow="1" firstDataCol="0"/>
  <pivotFields count="10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563B-3087-4D39-BAEE-30821DC3A59D}">
  <dimension ref="A1:J74"/>
  <sheetViews>
    <sheetView topLeftCell="A55" workbookViewId="0">
      <selection activeCell="J55" sqref="J55"/>
    </sheetView>
  </sheetViews>
  <sheetFormatPr defaultRowHeight="14.4" x14ac:dyDescent="0.3"/>
  <cols>
    <col min="1" max="1" width="12.5546875" bestFit="1" customWidth="1"/>
    <col min="2" max="4" width="12.109375" bestFit="1" customWidth="1"/>
    <col min="5" max="6" width="14.88671875" bestFit="1" customWidth="1"/>
  </cols>
  <sheetData>
    <row r="1" spans="1:10" x14ac:dyDescent="0.3">
      <c r="A1" t="s">
        <v>27</v>
      </c>
      <c r="C1" t="s">
        <v>28</v>
      </c>
      <c r="E1" t="s">
        <v>29</v>
      </c>
      <c r="G1" t="s">
        <v>30</v>
      </c>
      <c r="J1" s="8" t="s">
        <v>31</v>
      </c>
    </row>
    <row r="2" spans="1:10" x14ac:dyDescent="0.3">
      <c r="A2" s="3">
        <v>893150</v>
      </c>
      <c r="C2" s="3">
        <v>154780</v>
      </c>
      <c r="E2" s="3">
        <v>570</v>
      </c>
      <c r="G2">
        <f>C3/A3</f>
        <v>0.1732967586631585</v>
      </c>
      <c r="J2" s="8" t="s">
        <v>32</v>
      </c>
    </row>
    <row r="3" spans="1:10" x14ac:dyDescent="0.3">
      <c r="A3" s="6">
        <f>GETPIVOTDATA("Sales",$A$1)</f>
        <v>893150</v>
      </c>
      <c r="C3" s="7">
        <f>GETPIVOTDATA("Profit",$C$1)</f>
        <v>154780</v>
      </c>
      <c r="E3">
        <f>GETPIVOTDATA("Quantity",$E$1)</f>
        <v>570</v>
      </c>
      <c r="G3" s="5">
        <f>G2</f>
        <v>0.1732967586631585</v>
      </c>
      <c r="J3" s="8" t="s">
        <v>33</v>
      </c>
    </row>
    <row r="4" spans="1:10" x14ac:dyDescent="0.3">
      <c r="J4" s="8" t="s">
        <v>34</v>
      </c>
    </row>
    <row r="5" spans="1:10" x14ac:dyDescent="0.3">
      <c r="J5" s="8" t="s">
        <v>35</v>
      </c>
    </row>
    <row r="7" spans="1:10" x14ac:dyDescent="0.3">
      <c r="A7" s="4" t="s">
        <v>36</v>
      </c>
      <c r="B7" t="s">
        <v>27</v>
      </c>
    </row>
    <row r="8" spans="1:10" x14ac:dyDescent="0.3">
      <c r="A8" s="9" t="s">
        <v>37</v>
      </c>
      <c r="B8" s="3">
        <v>157200</v>
      </c>
    </row>
    <row r="9" spans="1:10" x14ac:dyDescent="0.3">
      <c r="A9" s="9" t="s">
        <v>38</v>
      </c>
      <c r="B9" s="3">
        <v>160450</v>
      </c>
    </row>
    <row r="10" spans="1:10" x14ac:dyDescent="0.3">
      <c r="A10" s="9" t="s">
        <v>39</v>
      </c>
      <c r="B10" s="3">
        <v>183150</v>
      </c>
    </row>
    <row r="11" spans="1:10" x14ac:dyDescent="0.3">
      <c r="A11" s="9" t="s">
        <v>40</v>
      </c>
      <c r="B11" s="3">
        <v>184650</v>
      </c>
    </row>
    <row r="12" spans="1:10" x14ac:dyDescent="0.3">
      <c r="A12" s="9" t="s">
        <v>41</v>
      </c>
      <c r="B12" s="3">
        <v>207700</v>
      </c>
    </row>
    <row r="22" spans="1:2" x14ac:dyDescent="0.3">
      <c r="A22" s="4" t="s">
        <v>36</v>
      </c>
      <c r="B22" t="s">
        <v>27</v>
      </c>
    </row>
    <row r="23" spans="1:2" x14ac:dyDescent="0.3">
      <c r="A23" s="9" t="s">
        <v>8</v>
      </c>
      <c r="B23" s="3">
        <v>234500</v>
      </c>
    </row>
    <row r="24" spans="1:2" x14ac:dyDescent="0.3">
      <c r="A24" s="9" t="s">
        <v>11</v>
      </c>
      <c r="B24" s="3">
        <v>290850</v>
      </c>
    </row>
    <row r="25" spans="1:2" x14ac:dyDescent="0.3">
      <c r="A25" s="9" t="s">
        <v>14</v>
      </c>
      <c r="B25" s="3">
        <v>210900</v>
      </c>
    </row>
    <row r="26" spans="1:2" x14ac:dyDescent="0.3">
      <c r="A26" s="9" t="s">
        <v>17</v>
      </c>
      <c r="B26" s="3">
        <v>156900</v>
      </c>
    </row>
    <row r="39" spans="1:2" x14ac:dyDescent="0.3">
      <c r="A39" s="4" t="s">
        <v>36</v>
      </c>
      <c r="B39" t="s">
        <v>28</v>
      </c>
    </row>
    <row r="40" spans="1:2" x14ac:dyDescent="0.3">
      <c r="A40" s="9" t="s">
        <v>9</v>
      </c>
      <c r="B40" s="3">
        <v>75400</v>
      </c>
    </row>
    <row r="41" spans="1:2" x14ac:dyDescent="0.3">
      <c r="A41" s="9" t="s">
        <v>12</v>
      </c>
      <c r="B41" s="3">
        <v>76850</v>
      </c>
    </row>
    <row r="42" spans="1:2" x14ac:dyDescent="0.3">
      <c r="A42" s="9" t="s">
        <v>15</v>
      </c>
      <c r="B42" s="3">
        <v>2530</v>
      </c>
    </row>
    <row r="53" spans="1:2" x14ac:dyDescent="0.3">
      <c r="A53" s="4" t="s">
        <v>36</v>
      </c>
      <c r="B53" t="s">
        <v>27</v>
      </c>
    </row>
    <row r="54" spans="1:2" x14ac:dyDescent="0.3">
      <c r="A54" s="9" t="s">
        <v>24</v>
      </c>
      <c r="B54" s="3">
        <v>99500</v>
      </c>
    </row>
    <row r="55" spans="1:2" x14ac:dyDescent="0.3">
      <c r="A55" s="9" t="s">
        <v>13</v>
      </c>
      <c r="B55" s="3">
        <v>35000</v>
      </c>
    </row>
    <row r="56" spans="1:2" x14ac:dyDescent="0.3">
      <c r="A56" s="9" t="s">
        <v>20</v>
      </c>
      <c r="B56" s="3">
        <v>8500</v>
      </c>
    </row>
    <row r="57" spans="1:2" x14ac:dyDescent="0.3">
      <c r="A57" s="9" t="s">
        <v>10</v>
      </c>
      <c r="B57" s="3">
        <v>299000</v>
      </c>
    </row>
    <row r="58" spans="1:2" x14ac:dyDescent="0.3">
      <c r="A58" s="9" t="s">
        <v>18</v>
      </c>
      <c r="B58" s="3">
        <v>105500</v>
      </c>
    </row>
    <row r="59" spans="1:2" x14ac:dyDescent="0.3">
      <c r="A59" s="9" t="s">
        <v>23</v>
      </c>
      <c r="B59" s="3">
        <v>6500</v>
      </c>
    </row>
    <row r="60" spans="1:2" x14ac:dyDescent="0.3">
      <c r="A60" s="9" t="s">
        <v>16</v>
      </c>
      <c r="B60" s="3">
        <v>5400</v>
      </c>
    </row>
    <row r="61" spans="1:2" x14ac:dyDescent="0.3">
      <c r="A61" s="9" t="s">
        <v>26</v>
      </c>
      <c r="B61" s="3">
        <v>45500</v>
      </c>
    </row>
    <row r="62" spans="1:2" x14ac:dyDescent="0.3">
      <c r="A62" s="9" t="s">
        <v>21</v>
      </c>
      <c r="B62" s="3">
        <v>198000</v>
      </c>
    </row>
    <row r="63" spans="1:2" x14ac:dyDescent="0.3">
      <c r="A63" s="9" t="s">
        <v>19</v>
      </c>
      <c r="B63" s="3">
        <v>84000</v>
      </c>
    </row>
    <row r="70" spans="1:2" x14ac:dyDescent="0.3">
      <c r="A70" s="4" t="s">
        <v>36</v>
      </c>
      <c r="B70" t="s">
        <v>28</v>
      </c>
    </row>
    <row r="71" spans="1:2" x14ac:dyDescent="0.3">
      <c r="A71" s="9" t="s">
        <v>8</v>
      </c>
      <c r="B71" s="3">
        <v>40770</v>
      </c>
    </row>
    <row r="72" spans="1:2" x14ac:dyDescent="0.3">
      <c r="A72" s="9" t="s">
        <v>11</v>
      </c>
      <c r="B72" s="3">
        <v>50060</v>
      </c>
    </row>
    <row r="73" spans="1:2" x14ac:dyDescent="0.3">
      <c r="A73" s="9" t="s">
        <v>14</v>
      </c>
      <c r="B73" s="3">
        <v>36660</v>
      </c>
    </row>
    <row r="74" spans="1:2" x14ac:dyDescent="0.3">
      <c r="A74" s="9" t="s">
        <v>17</v>
      </c>
      <c r="B74" s="3">
        <v>27290</v>
      </c>
    </row>
  </sheetData>
  <pageMargins left="0.7" right="0.7" top="0.75" bottom="0.75" header="0.3" footer="0.3"/>
  <pageSetup orientation="portrait" horizontalDpi="1200" verticalDpi="1200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DA3F-5523-49D1-9AB1-A111D326D331}">
  <dimension ref="A1"/>
  <sheetViews>
    <sheetView tabSelected="1" workbookViewId="0">
      <selection activeCell="W16" sqref="W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D7A9-8333-45D5-A2E7-069A940815D4}">
  <dimension ref="A1:H51"/>
  <sheetViews>
    <sheetView workbookViewId="0">
      <selection activeCell="A2" sqref="A1:H51"/>
    </sheetView>
  </sheetViews>
  <sheetFormatPr defaultRowHeight="14.4" x14ac:dyDescent="0.3"/>
  <cols>
    <col min="2" max="2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1001</v>
      </c>
      <c r="B2" s="1">
        <v>45660</v>
      </c>
      <c r="C2" t="s">
        <v>8</v>
      </c>
      <c r="D2" t="s">
        <v>9</v>
      </c>
      <c r="E2" t="s">
        <v>10</v>
      </c>
      <c r="F2">
        <v>55000</v>
      </c>
      <c r="G2">
        <v>8000</v>
      </c>
      <c r="H2">
        <v>2</v>
      </c>
    </row>
    <row r="3" spans="1:8" x14ac:dyDescent="0.3">
      <c r="A3">
        <v>1002</v>
      </c>
      <c r="B3" s="1">
        <v>45662</v>
      </c>
      <c r="C3" t="s">
        <v>11</v>
      </c>
      <c r="D3" t="s">
        <v>12</v>
      </c>
      <c r="E3" t="s">
        <v>13</v>
      </c>
      <c r="F3">
        <v>6500</v>
      </c>
      <c r="G3">
        <v>1200</v>
      </c>
      <c r="H3">
        <v>5</v>
      </c>
    </row>
    <row r="4" spans="1:8" x14ac:dyDescent="0.3">
      <c r="A4">
        <v>1003</v>
      </c>
      <c r="B4" s="1">
        <v>45664</v>
      </c>
      <c r="C4" t="s">
        <v>14</v>
      </c>
      <c r="D4" t="s">
        <v>15</v>
      </c>
      <c r="E4" t="s">
        <v>16</v>
      </c>
      <c r="F4">
        <v>1200</v>
      </c>
      <c r="G4">
        <v>300</v>
      </c>
      <c r="H4">
        <v>20</v>
      </c>
    </row>
    <row r="5" spans="1:8" x14ac:dyDescent="0.3">
      <c r="A5">
        <v>1004</v>
      </c>
      <c r="B5" s="1">
        <v>45667</v>
      </c>
      <c r="C5" t="s">
        <v>17</v>
      </c>
      <c r="D5" t="s">
        <v>9</v>
      </c>
      <c r="E5" t="s">
        <v>18</v>
      </c>
      <c r="F5">
        <v>18000</v>
      </c>
      <c r="G5">
        <v>3000</v>
      </c>
      <c r="H5">
        <v>3</v>
      </c>
    </row>
    <row r="6" spans="1:8" x14ac:dyDescent="0.3">
      <c r="A6">
        <v>1005</v>
      </c>
      <c r="B6" s="1">
        <v>45669</v>
      </c>
      <c r="C6" t="s">
        <v>8</v>
      </c>
      <c r="D6" t="s">
        <v>12</v>
      </c>
      <c r="E6" t="s">
        <v>19</v>
      </c>
      <c r="F6">
        <v>15000</v>
      </c>
      <c r="G6">
        <v>2500</v>
      </c>
      <c r="H6">
        <v>2</v>
      </c>
    </row>
    <row r="7" spans="1:8" x14ac:dyDescent="0.3">
      <c r="A7">
        <v>1006</v>
      </c>
      <c r="B7" s="1">
        <v>45672</v>
      </c>
      <c r="C7" t="s">
        <v>11</v>
      </c>
      <c r="D7" t="s">
        <v>9</v>
      </c>
      <c r="E7" t="s">
        <v>20</v>
      </c>
      <c r="F7">
        <v>2500</v>
      </c>
      <c r="G7">
        <v>500</v>
      </c>
      <c r="H7">
        <v>10</v>
      </c>
    </row>
    <row r="8" spans="1:8" x14ac:dyDescent="0.3">
      <c r="A8">
        <v>1007</v>
      </c>
      <c r="B8" s="1">
        <v>45675</v>
      </c>
      <c r="C8" t="s">
        <v>14</v>
      </c>
      <c r="D8" t="s">
        <v>12</v>
      </c>
      <c r="E8" t="s">
        <v>21</v>
      </c>
      <c r="F8">
        <v>35000</v>
      </c>
      <c r="G8">
        <v>6000</v>
      </c>
      <c r="H8">
        <v>1</v>
      </c>
    </row>
    <row r="9" spans="1:8" x14ac:dyDescent="0.3">
      <c r="A9">
        <v>1008</v>
      </c>
      <c r="B9" s="1">
        <v>45677</v>
      </c>
      <c r="C9" t="s">
        <v>17</v>
      </c>
      <c r="D9" t="s">
        <v>15</v>
      </c>
      <c r="E9" t="s">
        <v>22</v>
      </c>
      <c r="F9">
        <v>800</v>
      </c>
      <c r="G9">
        <v>150</v>
      </c>
      <c r="H9">
        <v>25</v>
      </c>
    </row>
    <row r="10" spans="1:8" x14ac:dyDescent="0.3">
      <c r="A10">
        <v>1009</v>
      </c>
      <c r="B10" s="1">
        <v>45679</v>
      </c>
      <c r="C10" t="s">
        <v>8</v>
      </c>
      <c r="D10" t="s">
        <v>9</v>
      </c>
      <c r="E10" t="s">
        <v>23</v>
      </c>
      <c r="F10">
        <v>1200</v>
      </c>
      <c r="G10">
        <v>250</v>
      </c>
      <c r="H10">
        <v>15</v>
      </c>
    </row>
    <row r="11" spans="1:8" x14ac:dyDescent="0.3">
      <c r="A11">
        <v>1010</v>
      </c>
      <c r="B11" s="1">
        <v>45682</v>
      </c>
      <c r="C11" t="s">
        <v>11</v>
      </c>
      <c r="D11" t="s">
        <v>12</v>
      </c>
      <c r="E11" t="s">
        <v>24</v>
      </c>
      <c r="F11">
        <v>22000</v>
      </c>
      <c r="G11">
        <v>4500</v>
      </c>
      <c r="H11">
        <v>2</v>
      </c>
    </row>
    <row r="12" spans="1:8" x14ac:dyDescent="0.3">
      <c r="A12">
        <v>1011</v>
      </c>
      <c r="B12" s="1">
        <v>45690</v>
      </c>
      <c r="C12" t="s">
        <v>14</v>
      </c>
      <c r="D12" t="s">
        <v>9</v>
      </c>
      <c r="E12" t="s">
        <v>10</v>
      </c>
      <c r="F12">
        <v>60000</v>
      </c>
      <c r="G12">
        <v>9500</v>
      </c>
      <c r="H12">
        <v>2</v>
      </c>
    </row>
    <row r="13" spans="1:8" x14ac:dyDescent="0.3">
      <c r="A13">
        <v>1012</v>
      </c>
      <c r="B13" s="1">
        <v>45692</v>
      </c>
      <c r="C13" t="s">
        <v>17</v>
      </c>
      <c r="D13" t="s">
        <v>12</v>
      </c>
      <c r="E13" t="s">
        <v>13</v>
      </c>
      <c r="F13">
        <v>7000</v>
      </c>
      <c r="G13">
        <v>1300</v>
      </c>
      <c r="H13">
        <v>6</v>
      </c>
    </row>
    <row r="14" spans="1:8" x14ac:dyDescent="0.3">
      <c r="A14">
        <v>1013</v>
      </c>
      <c r="B14" s="1">
        <v>45694</v>
      </c>
      <c r="C14" t="s">
        <v>8</v>
      </c>
      <c r="D14" t="s">
        <v>15</v>
      </c>
      <c r="E14" t="s">
        <v>25</v>
      </c>
      <c r="F14">
        <v>600</v>
      </c>
      <c r="G14">
        <v>120</v>
      </c>
      <c r="H14">
        <v>50</v>
      </c>
    </row>
    <row r="15" spans="1:8" x14ac:dyDescent="0.3">
      <c r="A15">
        <v>1014</v>
      </c>
      <c r="B15" s="1">
        <v>45696</v>
      </c>
      <c r="C15" t="s">
        <v>11</v>
      </c>
      <c r="D15" t="s">
        <v>9</v>
      </c>
      <c r="E15" t="s">
        <v>26</v>
      </c>
      <c r="F15">
        <v>14000</v>
      </c>
      <c r="G15">
        <v>2200</v>
      </c>
      <c r="H15">
        <v>2</v>
      </c>
    </row>
    <row r="16" spans="1:8" x14ac:dyDescent="0.3">
      <c r="A16">
        <v>1015</v>
      </c>
      <c r="B16" s="1">
        <v>45700</v>
      </c>
      <c r="C16" t="s">
        <v>14</v>
      </c>
      <c r="D16" t="s">
        <v>12</v>
      </c>
      <c r="E16" t="s">
        <v>19</v>
      </c>
      <c r="F16">
        <v>17000</v>
      </c>
      <c r="G16">
        <v>2800</v>
      </c>
      <c r="H16">
        <v>2</v>
      </c>
    </row>
    <row r="17" spans="1:8" x14ac:dyDescent="0.3">
      <c r="A17">
        <v>1016</v>
      </c>
      <c r="B17" s="1">
        <v>45703</v>
      </c>
      <c r="C17" t="s">
        <v>17</v>
      </c>
      <c r="D17" t="s">
        <v>15</v>
      </c>
      <c r="E17" t="s">
        <v>16</v>
      </c>
      <c r="F17">
        <v>1400</v>
      </c>
      <c r="G17">
        <v>350</v>
      </c>
      <c r="H17">
        <v>22</v>
      </c>
    </row>
    <row r="18" spans="1:8" x14ac:dyDescent="0.3">
      <c r="A18">
        <v>1017</v>
      </c>
      <c r="B18" s="1">
        <v>45706</v>
      </c>
      <c r="C18" t="s">
        <v>8</v>
      </c>
      <c r="D18" t="s">
        <v>9</v>
      </c>
      <c r="E18" t="s">
        <v>18</v>
      </c>
      <c r="F18">
        <v>21000</v>
      </c>
      <c r="G18">
        <v>3800</v>
      </c>
      <c r="H18">
        <v>4</v>
      </c>
    </row>
    <row r="19" spans="1:8" x14ac:dyDescent="0.3">
      <c r="A19">
        <v>1018</v>
      </c>
      <c r="B19" s="1">
        <v>45709</v>
      </c>
      <c r="C19" t="s">
        <v>11</v>
      </c>
      <c r="D19" t="s">
        <v>12</v>
      </c>
      <c r="E19" t="s">
        <v>21</v>
      </c>
      <c r="F19">
        <v>37000</v>
      </c>
      <c r="G19">
        <v>6500</v>
      </c>
      <c r="H19">
        <v>1</v>
      </c>
    </row>
    <row r="20" spans="1:8" x14ac:dyDescent="0.3">
      <c r="A20">
        <v>1019</v>
      </c>
      <c r="B20" s="1">
        <v>45712</v>
      </c>
      <c r="C20" t="s">
        <v>14</v>
      </c>
      <c r="D20" t="s">
        <v>15</v>
      </c>
      <c r="E20" t="s">
        <v>22</v>
      </c>
      <c r="F20">
        <v>950</v>
      </c>
      <c r="G20">
        <v>200</v>
      </c>
      <c r="H20">
        <v>28</v>
      </c>
    </row>
    <row r="21" spans="1:8" x14ac:dyDescent="0.3">
      <c r="A21">
        <v>1020</v>
      </c>
      <c r="B21" s="1">
        <v>45716</v>
      </c>
      <c r="C21" t="s">
        <v>17</v>
      </c>
      <c r="D21" t="s">
        <v>9</v>
      </c>
      <c r="E21" t="s">
        <v>23</v>
      </c>
      <c r="F21">
        <v>1500</v>
      </c>
      <c r="G21">
        <v>300</v>
      </c>
      <c r="H21">
        <v>20</v>
      </c>
    </row>
    <row r="22" spans="1:8" x14ac:dyDescent="0.3">
      <c r="A22">
        <v>1021</v>
      </c>
      <c r="B22" s="1">
        <v>45719</v>
      </c>
      <c r="C22" t="s">
        <v>8</v>
      </c>
      <c r="D22" t="s">
        <v>12</v>
      </c>
      <c r="E22" t="s">
        <v>13</v>
      </c>
      <c r="F22">
        <v>6800</v>
      </c>
      <c r="G22">
        <v>1150</v>
      </c>
      <c r="H22">
        <v>4</v>
      </c>
    </row>
    <row r="23" spans="1:8" x14ac:dyDescent="0.3">
      <c r="A23">
        <v>1022</v>
      </c>
      <c r="B23" s="1">
        <v>45722</v>
      </c>
      <c r="C23" t="s">
        <v>11</v>
      </c>
      <c r="D23" t="s">
        <v>9</v>
      </c>
      <c r="E23" t="s">
        <v>10</v>
      </c>
      <c r="F23">
        <v>58000</v>
      </c>
      <c r="G23">
        <v>8700</v>
      </c>
      <c r="H23">
        <v>2</v>
      </c>
    </row>
    <row r="24" spans="1:8" x14ac:dyDescent="0.3">
      <c r="A24">
        <v>1023</v>
      </c>
      <c r="B24" s="1">
        <v>45724</v>
      </c>
      <c r="C24" t="s">
        <v>14</v>
      </c>
      <c r="D24" t="s">
        <v>15</v>
      </c>
      <c r="E24" t="s">
        <v>25</v>
      </c>
      <c r="F24">
        <v>750</v>
      </c>
      <c r="G24">
        <v>140</v>
      </c>
      <c r="H24">
        <v>55</v>
      </c>
    </row>
    <row r="25" spans="1:8" x14ac:dyDescent="0.3">
      <c r="A25">
        <v>1024</v>
      </c>
      <c r="B25" s="1">
        <v>45726</v>
      </c>
      <c r="C25" t="s">
        <v>17</v>
      </c>
      <c r="D25" t="s">
        <v>12</v>
      </c>
      <c r="E25" t="s">
        <v>19</v>
      </c>
      <c r="F25">
        <v>16000</v>
      </c>
      <c r="G25">
        <v>2700</v>
      </c>
      <c r="H25">
        <v>2</v>
      </c>
    </row>
    <row r="26" spans="1:8" x14ac:dyDescent="0.3">
      <c r="A26">
        <v>1025</v>
      </c>
      <c r="B26" s="1">
        <v>45730</v>
      </c>
      <c r="C26" t="s">
        <v>8</v>
      </c>
      <c r="D26" t="s">
        <v>9</v>
      </c>
      <c r="E26" t="s">
        <v>20</v>
      </c>
      <c r="F26">
        <v>2800</v>
      </c>
      <c r="G26">
        <v>550</v>
      </c>
      <c r="H26">
        <v>12</v>
      </c>
    </row>
    <row r="27" spans="1:8" x14ac:dyDescent="0.3">
      <c r="A27">
        <v>1026</v>
      </c>
      <c r="B27" s="1">
        <v>45732</v>
      </c>
      <c r="C27" t="s">
        <v>11</v>
      </c>
      <c r="D27" t="s">
        <v>12</v>
      </c>
      <c r="E27" t="s">
        <v>24</v>
      </c>
      <c r="F27">
        <v>24000</v>
      </c>
      <c r="G27">
        <v>4900</v>
      </c>
      <c r="H27">
        <v>2</v>
      </c>
    </row>
    <row r="28" spans="1:8" x14ac:dyDescent="0.3">
      <c r="A28">
        <v>1027</v>
      </c>
      <c r="B28" s="1">
        <v>45735</v>
      </c>
      <c r="C28" t="s">
        <v>14</v>
      </c>
      <c r="D28" t="s">
        <v>9</v>
      </c>
      <c r="E28" t="s">
        <v>18</v>
      </c>
      <c r="F28">
        <v>19500</v>
      </c>
      <c r="G28">
        <v>3300</v>
      </c>
      <c r="H28">
        <v>3</v>
      </c>
    </row>
    <row r="29" spans="1:8" x14ac:dyDescent="0.3">
      <c r="A29">
        <v>1028</v>
      </c>
      <c r="B29" s="1">
        <v>45737</v>
      </c>
      <c r="C29" t="s">
        <v>17</v>
      </c>
      <c r="D29" t="s">
        <v>15</v>
      </c>
      <c r="E29" t="s">
        <v>16</v>
      </c>
      <c r="F29">
        <v>1300</v>
      </c>
      <c r="G29">
        <v>280</v>
      </c>
      <c r="H29">
        <v>18</v>
      </c>
    </row>
    <row r="30" spans="1:8" x14ac:dyDescent="0.3">
      <c r="A30">
        <v>1029</v>
      </c>
      <c r="B30" s="1">
        <v>45741</v>
      </c>
      <c r="C30" t="s">
        <v>8</v>
      </c>
      <c r="D30" t="s">
        <v>12</v>
      </c>
      <c r="E30" t="s">
        <v>21</v>
      </c>
      <c r="F30">
        <v>39000</v>
      </c>
      <c r="G30">
        <v>7200</v>
      </c>
      <c r="H30">
        <v>1</v>
      </c>
    </row>
    <row r="31" spans="1:8" x14ac:dyDescent="0.3">
      <c r="A31">
        <v>1030</v>
      </c>
      <c r="B31" s="1">
        <v>45744</v>
      </c>
      <c r="C31" t="s">
        <v>11</v>
      </c>
      <c r="D31" t="s">
        <v>9</v>
      </c>
      <c r="E31" t="s">
        <v>26</v>
      </c>
      <c r="F31">
        <v>15000</v>
      </c>
      <c r="G31">
        <v>2500</v>
      </c>
      <c r="H31">
        <v>2</v>
      </c>
    </row>
    <row r="32" spans="1:8" x14ac:dyDescent="0.3">
      <c r="A32">
        <v>1031</v>
      </c>
      <c r="B32" s="1">
        <v>45749</v>
      </c>
      <c r="C32" t="s">
        <v>14</v>
      </c>
      <c r="D32" t="s">
        <v>12</v>
      </c>
      <c r="E32" t="s">
        <v>13</v>
      </c>
      <c r="F32">
        <v>7200</v>
      </c>
      <c r="G32">
        <v>1350</v>
      </c>
      <c r="H32">
        <v>5</v>
      </c>
    </row>
    <row r="33" spans="1:8" x14ac:dyDescent="0.3">
      <c r="A33">
        <v>1032</v>
      </c>
      <c r="B33" s="1">
        <v>45751</v>
      </c>
      <c r="C33" t="s">
        <v>17</v>
      </c>
      <c r="D33" t="s">
        <v>9</v>
      </c>
      <c r="E33" t="s">
        <v>10</v>
      </c>
      <c r="F33">
        <v>62000</v>
      </c>
      <c r="G33">
        <v>9800</v>
      </c>
      <c r="H33">
        <v>2</v>
      </c>
    </row>
    <row r="34" spans="1:8" x14ac:dyDescent="0.3">
      <c r="A34">
        <v>1033</v>
      </c>
      <c r="B34" s="1">
        <v>45754</v>
      </c>
      <c r="C34" t="s">
        <v>8</v>
      </c>
      <c r="D34" t="s">
        <v>15</v>
      </c>
      <c r="E34" t="s">
        <v>22</v>
      </c>
      <c r="F34">
        <v>1100</v>
      </c>
      <c r="G34">
        <v>250</v>
      </c>
      <c r="H34">
        <v>30</v>
      </c>
    </row>
    <row r="35" spans="1:8" x14ac:dyDescent="0.3">
      <c r="A35">
        <v>1034</v>
      </c>
      <c r="B35" s="1">
        <v>45757</v>
      </c>
      <c r="C35" t="s">
        <v>11</v>
      </c>
      <c r="D35" t="s">
        <v>12</v>
      </c>
      <c r="E35" t="s">
        <v>19</v>
      </c>
      <c r="F35">
        <v>17500</v>
      </c>
      <c r="G35">
        <v>3100</v>
      </c>
      <c r="H35">
        <v>2</v>
      </c>
    </row>
    <row r="36" spans="1:8" x14ac:dyDescent="0.3">
      <c r="A36">
        <v>1035</v>
      </c>
      <c r="B36" s="1">
        <v>45759</v>
      </c>
      <c r="C36" t="s">
        <v>14</v>
      </c>
      <c r="D36" t="s">
        <v>9</v>
      </c>
      <c r="E36" t="s">
        <v>23</v>
      </c>
      <c r="F36">
        <v>1800</v>
      </c>
      <c r="G36">
        <v>350</v>
      </c>
      <c r="H36">
        <v>22</v>
      </c>
    </row>
    <row r="37" spans="1:8" x14ac:dyDescent="0.3">
      <c r="A37">
        <v>1036</v>
      </c>
      <c r="B37" s="1">
        <v>45762</v>
      </c>
      <c r="C37" t="s">
        <v>17</v>
      </c>
      <c r="D37" t="s">
        <v>12</v>
      </c>
      <c r="E37" t="s">
        <v>24</v>
      </c>
      <c r="F37">
        <v>26000</v>
      </c>
      <c r="G37">
        <v>5200</v>
      </c>
      <c r="H37">
        <v>2</v>
      </c>
    </row>
    <row r="38" spans="1:8" x14ac:dyDescent="0.3">
      <c r="A38">
        <v>1037</v>
      </c>
      <c r="B38" s="1">
        <v>45765</v>
      </c>
      <c r="C38" t="s">
        <v>8</v>
      </c>
      <c r="D38" t="s">
        <v>9</v>
      </c>
      <c r="E38" t="s">
        <v>18</v>
      </c>
      <c r="F38">
        <v>23000</v>
      </c>
      <c r="G38">
        <v>4200</v>
      </c>
      <c r="H38">
        <v>4</v>
      </c>
    </row>
    <row r="39" spans="1:8" x14ac:dyDescent="0.3">
      <c r="A39">
        <v>1038</v>
      </c>
      <c r="B39" s="1">
        <v>45768</v>
      </c>
      <c r="C39" t="s">
        <v>11</v>
      </c>
      <c r="D39" t="s">
        <v>15</v>
      </c>
      <c r="E39" t="s">
        <v>25</v>
      </c>
      <c r="F39">
        <v>850</v>
      </c>
      <c r="G39">
        <v>160</v>
      </c>
      <c r="H39">
        <v>60</v>
      </c>
    </row>
    <row r="40" spans="1:8" x14ac:dyDescent="0.3">
      <c r="A40">
        <v>1039</v>
      </c>
      <c r="B40" s="1">
        <v>45771</v>
      </c>
      <c r="C40" t="s">
        <v>14</v>
      </c>
      <c r="D40" t="s">
        <v>12</v>
      </c>
      <c r="E40" t="s">
        <v>21</v>
      </c>
      <c r="F40">
        <v>42000</v>
      </c>
      <c r="G40">
        <v>7800</v>
      </c>
      <c r="H40">
        <v>1</v>
      </c>
    </row>
    <row r="41" spans="1:8" x14ac:dyDescent="0.3">
      <c r="A41">
        <v>1040</v>
      </c>
      <c r="B41" s="1">
        <v>45774</v>
      </c>
      <c r="C41" t="s">
        <v>17</v>
      </c>
      <c r="D41" t="s">
        <v>9</v>
      </c>
      <c r="E41" t="s">
        <v>20</v>
      </c>
      <c r="F41">
        <v>3200</v>
      </c>
      <c r="G41">
        <v>650</v>
      </c>
      <c r="H41">
        <v>15</v>
      </c>
    </row>
    <row r="42" spans="1:8" x14ac:dyDescent="0.3">
      <c r="A42">
        <v>1041</v>
      </c>
      <c r="B42" s="1">
        <v>45779</v>
      </c>
      <c r="C42" t="s">
        <v>8</v>
      </c>
      <c r="D42" t="s">
        <v>12</v>
      </c>
      <c r="E42" t="s">
        <v>13</v>
      </c>
      <c r="F42">
        <v>7500</v>
      </c>
      <c r="G42">
        <v>1450</v>
      </c>
      <c r="H42">
        <v>6</v>
      </c>
    </row>
    <row r="43" spans="1:8" x14ac:dyDescent="0.3">
      <c r="A43">
        <v>1042</v>
      </c>
      <c r="B43" s="1">
        <v>45782</v>
      </c>
      <c r="C43" t="s">
        <v>11</v>
      </c>
      <c r="D43" t="s">
        <v>9</v>
      </c>
      <c r="E43" t="s">
        <v>10</v>
      </c>
      <c r="F43">
        <v>64000</v>
      </c>
      <c r="G43">
        <v>10000</v>
      </c>
      <c r="H43">
        <v>2</v>
      </c>
    </row>
    <row r="44" spans="1:8" x14ac:dyDescent="0.3">
      <c r="A44">
        <v>1043</v>
      </c>
      <c r="B44" s="1">
        <v>45785</v>
      </c>
      <c r="C44" t="s">
        <v>14</v>
      </c>
      <c r="D44" t="s">
        <v>15</v>
      </c>
      <c r="E44" t="s">
        <v>16</v>
      </c>
      <c r="F44">
        <v>1500</v>
      </c>
      <c r="G44">
        <v>320</v>
      </c>
      <c r="H44">
        <v>25</v>
      </c>
    </row>
    <row r="45" spans="1:8" x14ac:dyDescent="0.3">
      <c r="A45">
        <v>1044</v>
      </c>
      <c r="B45" s="1">
        <v>45788</v>
      </c>
      <c r="C45" t="s">
        <v>17</v>
      </c>
      <c r="D45" t="s">
        <v>12</v>
      </c>
      <c r="E45" t="s">
        <v>19</v>
      </c>
      <c r="F45">
        <v>18500</v>
      </c>
      <c r="G45">
        <v>3300</v>
      </c>
      <c r="H45">
        <v>2</v>
      </c>
    </row>
    <row r="46" spans="1:8" x14ac:dyDescent="0.3">
      <c r="A46">
        <v>1045</v>
      </c>
      <c r="B46" s="1">
        <v>45791</v>
      </c>
      <c r="C46" t="s">
        <v>8</v>
      </c>
      <c r="D46" t="s">
        <v>9</v>
      </c>
      <c r="E46" t="s">
        <v>26</v>
      </c>
      <c r="F46">
        <v>16500</v>
      </c>
      <c r="G46">
        <v>2800</v>
      </c>
      <c r="H46">
        <v>2</v>
      </c>
    </row>
    <row r="47" spans="1:8" x14ac:dyDescent="0.3">
      <c r="A47">
        <v>1046</v>
      </c>
      <c r="B47" s="1">
        <v>45794</v>
      </c>
      <c r="C47" t="s">
        <v>11</v>
      </c>
      <c r="D47" t="s">
        <v>12</v>
      </c>
      <c r="E47" t="s">
        <v>24</v>
      </c>
      <c r="F47">
        <v>27500</v>
      </c>
      <c r="G47">
        <v>5400</v>
      </c>
      <c r="H47">
        <v>2</v>
      </c>
    </row>
    <row r="48" spans="1:8" x14ac:dyDescent="0.3">
      <c r="A48">
        <v>1047</v>
      </c>
      <c r="B48" s="1">
        <v>45797</v>
      </c>
      <c r="C48" t="s">
        <v>14</v>
      </c>
      <c r="D48" t="s">
        <v>9</v>
      </c>
      <c r="E48" t="s">
        <v>18</v>
      </c>
      <c r="F48">
        <v>24000</v>
      </c>
      <c r="G48">
        <v>4600</v>
      </c>
      <c r="H48">
        <v>4</v>
      </c>
    </row>
    <row r="49" spans="1:8" x14ac:dyDescent="0.3">
      <c r="A49">
        <v>1048</v>
      </c>
      <c r="B49" s="1">
        <v>45800</v>
      </c>
      <c r="C49" t="s">
        <v>17</v>
      </c>
      <c r="D49" t="s">
        <v>15</v>
      </c>
      <c r="E49" t="s">
        <v>22</v>
      </c>
      <c r="F49">
        <v>1200</v>
      </c>
      <c r="G49">
        <v>260</v>
      </c>
      <c r="H49">
        <v>35</v>
      </c>
    </row>
    <row r="50" spans="1:8" x14ac:dyDescent="0.3">
      <c r="A50">
        <v>1049</v>
      </c>
      <c r="B50" s="1">
        <v>45803</v>
      </c>
      <c r="C50" t="s">
        <v>8</v>
      </c>
      <c r="D50" t="s">
        <v>12</v>
      </c>
      <c r="E50" t="s">
        <v>21</v>
      </c>
      <c r="F50">
        <v>45000</v>
      </c>
      <c r="G50">
        <v>8500</v>
      </c>
      <c r="H50">
        <v>1</v>
      </c>
    </row>
    <row r="51" spans="1:8" x14ac:dyDescent="0.3">
      <c r="A51">
        <v>1050</v>
      </c>
      <c r="B51" s="1">
        <v>45807</v>
      </c>
      <c r="C51" t="s">
        <v>11</v>
      </c>
      <c r="D51" t="s">
        <v>9</v>
      </c>
      <c r="E51" t="s">
        <v>23</v>
      </c>
      <c r="F51">
        <v>2000</v>
      </c>
      <c r="G51">
        <v>400</v>
      </c>
      <c r="H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KPI</vt:lpstr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Soutrik Saha</dc:creator>
  <cp:lastModifiedBy>Soutrik Saha</cp:lastModifiedBy>
  <dcterms:created xsi:type="dcterms:W3CDTF">2026-10-12T11:30:20Z</dcterms:created>
  <dcterms:modified xsi:type="dcterms:W3CDTF">2026-10-12T12:14:29Z</dcterms:modified>
</cp:coreProperties>
</file>